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Plan" sheetId="1" state="visible" r:id="rId3"/>
    <sheet name="Assumptions" sheetId="2" state="visible" r:id="rId4"/>
    <sheet name="Co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<sst xmlns="http://schemas.openxmlformats.org/spreadsheetml/2006/main" count="169" uniqueCount="139">
  <si>
    <t xml:space="preserve">AI Interior Makeover: capabilities and build estimate</t>
  </si>
  <si>
    <t xml:space="preserve">Stack: Bolt (front end), Supabase (backend), AI image-editing API. Edit blue cells (tokens, hours); totals update.</t>
  </si>
  <si>
    <t xml:space="preserve">#</t>
  </si>
  <si>
    <t xml:space="preserve">Capability</t>
  </si>
  <si>
    <t xml:space="preserve">Priority</t>
  </si>
  <si>
    <t xml:space="preserve">Approach</t>
  </si>
  <si>
    <t xml:space="preserve">Tools</t>
  </si>
  <si>
    <t xml:space="preserve">Build tokens (approx.)</t>
  </si>
  <si>
    <t xml:space="preserve">Time (hours)</t>
  </si>
  <si>
    <t xml:space="preserve">Tokens low</t>
  </si>
  <si>
    <t xml:space="preserve">Tokens high</t>
  </si>
  <si>
    <t xml:space="preserve">Labour cost (₹)</t>
  </si>
  <si>
    <t xml:space="preserve">Sign-up and login</t>
  </si>
  <si>
    <t xml:space="preserve">MVP</t>
  </si>
  <si>
    <t xml:space="preserve">Email and Google sign-in; row-level security so each user sees only their own rooms and designs</t>
  </si>
  <si>
    <t xml:space="preserve">Bolt, Supabase Auth</t>
  </si>
  <si>
    <t xml:space="preserve">Room photo upload</t>
  </si>
  <si>
    <t xml:space="preserve">Drag-and-drop upload, JPG/PNG up to 10 MB, client-side resize before upload, stored per user</t>
  </si>
  <si>
    <t xml:space="preserve">Bolt, Supabase Storage</t>
  </si>
  <si>
    <t xml:space="preserve">Style selection</t>
  </si>
  <si>
    <t xml:space="preserve">Style picker (Modern, Scandinavian, Japandi, Boho, Industrial, Traditional Indian) backed by a table of prompt templates</t>
  </si>
  <si>
    <t xml:space="preserve">Bolt, Supabase Postgres</t>
  </si>
  <si>
    <t xml:space="preserve">AI makeover generation</t>
  </si>
  <si>
    <t xml:space="preserve">Edge Function sends the photo plus the style prompt to the image-editing API and returns 2-3 variants; the API key stays server-side</t>
  </si>
  <si>
    <t xml:space="preserve">Supabase Edge Functions, OpenAI image edit API (or similar)</t>
  </si>
  <si>
    <t xml:space="preserve">Progress, errors and usage limits</t>
  </si>
  <si>
    <t xml:space="preserve">Loading state with style previews, retry on failure, daily generation quota per user to control cost</t>
  </si>
  <si>
    <t xml:space="preserve">Bolt, Supabase tables and Edge Function</t>
  </si>
  <si>
    <t xml:space="preserve">Before/after slider</t>
  </si>
  <si>
    <t xml:space="preserve">Draggable overlay comparing the original with the chosen concept</t>
  </si>
  <si>
    <t xml:space="preserve">Bolt (React component)</t>
  </si>
  <si>
    <t xml:space="preserve">Personal gallery</t>
  </si>
  <si>
    <t xml:space="preserve">Save, rename, favourite and delete designs; thumbnails loaded from storage</t>
  </si>
  <si>
    <t xml:space="preserve">Bolt, Supabase Postgres and Storage</t>
  </si>
  <si>
    <t xml:space="preserve">Share link and family vote</t>
  </si>
  <si>
    <t xml:space="preserve">Differentiator</t>
  </si>
  <si>
    <t xml:space="preserve">Public read-only page per design with a vote button; votes stored per concept</t>
  </si>
  <si>
    <t xml:space="preserve">Budget Mode</t>
  </si>
  <si>
    <t xml:space="preserve">User enters a budget in ₹; the text model returns structured JSON of changes with estimated costs that fit the budget</t>
  </si>
  <si>
    <t xml:space="preserve">OpenAI API (structured output), Edge Function</t>
  </si>
  <si>
    <t xml:space="preserve">Shop the Look</t>
  </si>
  <si>
    <t xml:space="preserve">Each suggested item gets a search link to a retailer, built from the item name; no scraping</t>
  </si>
  <si>
    <t xml:space="preserve">OpenAI API, Bolt</t>
  </si>
  <si>
    <t xml:space="preserve">Vastu overlay</t>
  </si>
  <si>
    <t xml:space="preserve">Vision model reads the photo and returns layout suggestions as short notes; shown beside the concept</t>
  </si>
  <si>
    <t xml:space="preserve">OpenAI vision API, Edge Function</t>
  </si>
  <si>
    <t xml:space="preserve">Landing page and demo gallery</t>
  </si>
  <si>
    <t xml:space="preserve">Polish</t>
  </si>
  <si>
    <t xml:space="preserve">Hero section, pre-generated sample makeovers for the demo, responsive layout</t>
  </si>
  <si>
    <t xml:space="preserve">Bolt</t>
  </si>
  <si>
    <t xml:space="preserve">Testing, deploy and demo rehearsal</t>
  </si>
  <si>
    <t xml:space="preserve">Fix bugs, test on phone, deploy, rehearse the live reveal with a fallback gallery</t>
  </si>
  <si>
    <t xml:space="preserve">Bolt hosting or Netlify, Supabase dashboard</t>
  </si>
  <si>
    <t xml:space="preserve">Summary by priority</t>
  </si>
  <si>
    <t xml:space="preserve">Capabilities</t>
  </si>
  <si>
    <t xml:space="preserve">Build tokens</t>
  </si>
  <si>
    <t xml:space="preserve">Total</t>
  </si>
  <si>
    <t xml:space="preserve">Total working days (1 developer)</t>
  </si>
  <si>
    <t xml:space="preserve">Time with parallel developers (hours)</t>
  </si>
  <si>
    <t xml:space="preserve">Cash cost: tools and AI API (₹)</t>
  </si>
  <si>
    <t xml:space="preserve">Total cost of implementation incl. labour (₹)</t>
  </si>
  <si>
    <t xml:space="preserve">Assumptions (edit the blue cells)</t>
  </si>
  <si>
    <t xml:space="preserve">Token estimate margin (±)</t>
  </si>
  <si>
    <t xml:space="preserve">Build-token counts are rough; low/high columns apply this margin.</t>
  </si>
  <si>
    <t xml:space="preserve">Developers working in parallel</t>
  </si>
  <si>
    <t xml:space="preserve">Used for the parallel time estimate.</t>
  </si>
  <si>
    <t xml:space="preserve">Hours per working day</t>
  </si>
  <si>
    <t xml:space="preserve">Used to convert hours to days.</t>
  </si>
  <si>
    <t xml:space="preserve">Notes</t>
  </si>
  <si>
    <t xml:space="preserve">Tokens are build tokens only: prompts to Bolt, generated code and debugging rounds. Source: Claude's estimate, not measured.</t>
  </si>
  <si>
    <t xml:space="preserve">Time is working hours for one person. Source: Claude's estimate.</t>
  </si>
  <si>
    <t xml:space="preserve">Parallel estimate assumes only Differentiators (8-11) can be split across developers; MVP and Polish stay sequential.</t>
  </si>
  <si>
    <t xml:space="preserve">Running cost per generation is separate: one image-edit call plus about 2,000-3,000 text tokens when Budget Mode and Vastu are on. Check the image API's current price before the demo.</t>
  </si>
  <si>
    <t xml:space="preserve">Cut order if time runs short: drop 11, then 10, then 8; keep 9 only if the budget pitch is central.</t>
  </si>
  <si>
    <t xml:space="preserve">Cost of implementing AI Interior Makeover</t>
  </si>
  <si>
    <t xml:space="preserve">Edit the blue cells; every cost below recalculates. Rates are assumptions or published prices as of Oct 2026 and can change.</t>
  </si>
  <si>
    <t xml:space="preserve">Inputs</t>
  </si>
  <si>
    <t xml:space="preserve">USD to INR rate</t>
  </si>
  <si>
    <t xml:space="preserve">Assumption. Check the current rate.</t>
  </si>
  <si>
    <t xml:space="preserve">Developer hourly rate (₹)</t>
  </si>
  <si>
    <t xml:space="preserve">Placeholder. Set to your own rate, or 0 if your own time is free.</t>
  </si>
  <si>
    <t xml:space="preserve">Bolt Pro plan (USD per month)</t>
  </si>
  <si>
    <t xml:space="preserve">Bolt Pro: $25/month for 10M tokens, no daily cap. Free plan: 1M tokens/month with a 300K daily cap. Source: jetadmin.io Bolt pricing guide (Jul 2026).</t>
  </si>
  <si>
    <t xml:space="preserve">Bolt Pro months needed</t>
  </si>
  <si>
    <t xml:space="preserve">The full build (about 510K tokens, up to 714K) fits within one month of Pro.</t>
  </si>
  <si>
    <t xml:space="preserve">Supabase Pro (USD per month)</t>
  </si>
  <si>
    <t xml:space="preserve">Supabase Pro: $25/month. Free plan: 1 GB file storage, 500 MB database. Source: jetadmin.io Supabase pricing guide (Jul 2026).</t>
  </si>
  <si>
    <t xml:space="preserve">Supabase Pro months needed</t>
  </si>
  <si>
    <t xml:space="preserve">Set to 0 to stay on the Free plan; room photos and designs fill 1 GB quickly.</t>
  </si>
  <si>
    <t xml:space="preserve">Image output tokens per image (medium, 1024x1024)</t>
  </si>
  <si>
    <t xml:space="preserve">GPT Image 2.5 Sunburst: low 196, medium 439, high 1,756 tokens. Source: docs.kanaries.net (cites OpenAI's estimator).</t>
  </si>
  <si>
    <t xml:space="preserve">Image output price (USD per 1M tokens)</t>
  </si>
  <si>
    <t xml:space="preserve">OpenAI standard rate; $15 with Batch. Source: developers.openai.com/api/docs/models/gpt-image-2.5-sunburst.</t>
  </si>
  <si>
    <t xml:space="preserve">Room photo input tokens per call</t>
  </si>
  <si>
    <t xml:space="preserve">Assumption. OpenAI has not published this for 2.5; read the usage field from real calls.</t>
  </si>
  <si>
    <t xml:space="preserve">Image input price (USD per 1M tokens)</t>
  </si>
  <si>
    <t xml:space="preserve">OpenAI rate for GPT Image 2.5 Sunburst.</t>
  </si>
  <si>
    <t xml:space="preserve">Prompt tokens per call</t>
  </si>
  <si>
    <t xml:space="preserve">Kanaries estimate for a short prompt.</t>
  </si>
  <si>
    <t xml:space="preserve">Text input price (USD per 1M tokens)</t>
  </si>
  <si>
    <t xml:space="preserve">Images per generation (variants shown)</t>
  </si>
  <si>
    <t xml:space="preserve">Capability 4 returns 2-3 variants.</t>
  </si>
  <si>
    <t xml:space="preserve">Test generations during the build</t>
  </si>
  <si>
    <t xml:space="preserve">Assumption.</t>
  </si>
  <si>
    <t xml:space="preserve">Demo and judging generations</t>
  </si>
  <si>
    <t xml:space="preserve">Text-model tokens per generation (Budget Mode, Vastu)</t>
  </si>
  <si>
    <t xml:space="preserve">Assumption: 2,000-3,000 tokens when both features are on.</t>
  </si>
  <si>
    <t xml:space="preserve">Text-model price (USD per 1M tokens)</t>
  </si>
  <si>
    <t xml:space="preserve">Assumption: uses the $5 text rate above. Your chosen model may differ.</t>
  </si>
  <si>
    <t xml:space="preserve">Derived rates</t>
  </si>
  <si>
    <t xml:space="preserve">Cost per image (USD)</t>
  </si>
  <si>
    <t xml:space="preserve">Text cost per generation (USD)</t>
  </si>
  <si>
    <t xml:space="preserve">Cost per generation (₹)</t>
  </si>
  <si>
    <t xml:space="preserve">Cost per 1,000 generations (₹)</t>
  </si>
  <si>
    <t xml:space="preserve">Cost breakdown</t>
  </si>
  <si>
    <t xml:space="preserve">Category</t>
  </si>
  <si>
    <t xml:space="preserve">Item</t>
  </si>
  <si>
    <t xml:space="preserve">Quantity</t>
  </si>
  <si>
    <t xml:space="preserve">Unit cost (₹)</t>
  </si>
  <si>
    <t xml:space="preserve">Cost (₹)</t>
  </si>
  <si>
    <t xml:space="preserve">Basis</t>
  </si>
  <si>
    <t xml:space="preserve">Bolt Pro subscription (months)</t>
  </si>
  <si>
    <t xml:space="preserve">Plan price x months</t>
  </si>
  <si>
    <t xml:space="preserve">Supabase Pro (months)</t>
  </si>
  <si>
    <t xml:space="preserve">Hosting (Bolt hosting or Netlify free tier)</t>
  </si>
  <si>
    <t xml:space="preserve">Free tier assumed</t>
  </si>
  <si>
    <t xml:space="preserve">AI API</t>
  </si>
  <si>
    <t xml:space="preserve">Cost per generation x count</t>
  </si>
  <si>
    <t xml:space="preserve">Labour</t>
  </si>
  <si>
    <t xml:space="preserve">Development hours (from Build Plan)</t>
  </si>
  <si>
    <t xml:space="preserve">Total hours x hourly rate</t>
  </si>
  <si>
    <t xml:space="preserve">Cash cost: tools and AI API</t>
  </si>
  <si>
    <t xml:space="preserve">Labour cost</t>
  </si>
  <si>
    <t xml:space="preserve">Total cost of implementation</t>
  </si>
  <si>
    <t xml:space="preserve">Cash cost if Bolt and Supabase stay on free tiers</t>
  </si>
  <si>
    <t xml:space="preserve">gpt-image-1 was retired on Oct 23, 2026; the estimate uses its replacement, GPT Image 2.5 Sunburst, which supports image edits.</t>
  </si>
  <si>
    <t xml:space="preserve">OpenAI publishes no edit-specific per-image price for 2.5, so image cost is output tokens plus an assumed reference-photo input. Log usage on real calls to confirm.</t>
  </si>
  <si>
    <t xml:space="preserve">Costs exclude GST, payment fees and any custom domain. Bolt build tokens (about 510K) are covered by the plan price and not billed separately.</t>
  </si>
  <si>
    <t xml:space="preserve">Running cost after launch is the cost per generation (B25), multiplied by your expected usage.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</si>
</sst>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"/>
    <numFmt numFmtId="167" formatCode="[&gt;=10000000]\₹##\,##\,##\,##0;[&gt;=100000]\₹##\,##\,##0;\₹##,##0"/>
    <numFmt numFmtId="168" formatCode="General"/>
    <numFmt numFmtId="169" formatCode="0%"/>
    <numFmt numFmtId="170" formatCode="0"/>
    <numFmt numFmtId="171" formatCode="0.00"/>
    <numFmt numFmtId="172" formatCode="\$0.0000"/>
    <numFmt numFmtId="173" formatCode="\₹#,##0.00"/>
    <numFmt numFmtId="174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62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9" min="8" style="1" width="13"/>
    <col collapsed="false" customWidth="true" hidden="false" outlineLevel="0" max="10" min="10" style="0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6.25" hidden="false" customHeight="true" outlineLevel="0" collapsed="false">
      <c r="A5" s="5" t="n">
        <v>1</v>
      </c>
      <c r="B5" s="6" t="s">
        <v>12</v>
      </c>
      <c r="C5" s="6" t="s">
        <v>13</v>
      </c>
      <c r="D5" s="6" t="s">
        <v>14</v>
      </c>
      <c r="E5" s="6" t="s">
        <v>15</v>
      </c>
      <c r="F5" s="7" t="n">
        <v>25000</v>
      </c>
      <c r="G5" s="8" t="n">
        <v>1</v>
      </c>
      <c r="H5" s="9" t="n">
        <f aca="false">F5*(1-Assumptions!$B$3)</f>
        <v>15000</v>
      </c>
      <c r="I5" s="9" t="n">
        <f aca="false">F5*(1+Assumptions!$B$3)</f>
        <v>35000</v>
      </c>
      <c r="J5" s="10" t="n">
        <f aca="false">G5*Cost!$B$5</f>
        <v>600</v>
      </c>
    </row>
    <row r="6" customFormat="false" ht="26.25" hidden="false" customHeight="true" outlineLevel="0" collapsed="false">
      <c r="A6" s="5" t="n">
        <v>2</v>
      </c>
      <c r="B6" s="6" t="s">
        <v>16</v>
      </c>
      <c r="C6" s="6" t="s">
        <v>13</v>
      </c>
      <c r="D6" s="6" t="s">
        <v>17</v>
      </c>
      <c r="E6" s="6" t="s">
        <v>18</v>
      </c>
      <c r="F6" s="7" t="n">
        <v>30000</v>
      </c>
      <c r="G6" s="8" t="n">
        <v>1.5</v>
      </c>
      <c r="H6" s="9" t="n">
        <f aca="false">F6*(1-Assumptions!$B$3)</f>
        <v>18000</v>
      </c>
      <c r="I6" s="9" t="n">
        <f aca="false">F6*(1+Assumptions!$B$3)</f>
        <v>42000</v>
      </c>
      <c r="J6" s="10" t="n">
        <f aca="false">G6*Cost!$B$5</f>
        <v>900</v>
      </c>
    </row>
    <row r="7" customFormat="false" ht="26.25" hidden="false" customHeight="true" outlineLevel="0" collapsed="false">
      <c r="A7" s="5" t="n">
        <v>3</v>
      </c>
      <c r="B7" s="6" t="s">
        <v>19</v>
      </c>
      <c r="C7" s="6" t="s">
        <v>13</v>
      </c>
      <c r="D7" s="6" t="s">
        <v>20</v>
      </c>
      <c r="E7" s="6" t="s">
        <v>21</v>
      </c>
      <c r="F7" s="7" t="n">
        <v>20000</v>
      </c>
      <c r="G7" s="8" t="n">
        <v>1</v>
      </c>
      <c r="H7" s="9" t="n">
        <f aca="false">F7*(1-Assumptions!$B$3)</f>
        <v>12000</v>
      </c>
      <c r="I7" s="9" t="n">
        <f aca="false">F7*(1+Assumptions!$B$3)</f>
        <v>28000</v>
      </c>
      <c r="J7" s="10" t="n">
        <f aca="false">G7*Cost!$B$5</f>
        <v>600</v>
      </c>
    </row>
    <row r="8" customFormat="false" ht="26.25" hidden="false" customHeight="true" outlineLevel="0" collapsed="false">
      <c r="A8" s="5" t="n">
        <v>4</v>
      </c>
      <c r="B8" s="6" t="s">
        <v>22</v>
      </c>
      <c r="C8" s="6" t="s">
        <v>13</v>
      </c>
      <c r="D8" s="6" t="s">
        <v>23</v>
      </c>
      <c r="E8" s="6" t="s">
        <v>24</v>
      </c>
      <c r="F8" s="7" t="n">
        <v>80000</v>
      </c>
      <c r="G8" s="8" t="n">
        <v>4</v>
      </c>
      <c r="H8" s="9" t="n">
        <f aca="false">F8*(1-Assumptions!$B$3)</f>
        <v>48000</v>
      </c>
      <c r="I8" s="9" t="n">
        <f aca="false">F8*(1+Assumptions!$B$3)</f>
        <v>112000</v>
      </c>
      <c r="J8" s="10" t="n">
        <f aca="false">G8*Cost!$B$5</f>
        <v>2400</v>
      </c>
    </row>
    <row r="9" customFormat="false" ht="26.25" hidden="false" customHeight="true" outlineLevel="0" collapsed="false">
      <c r="A9" s="5" t="n">
        <v>5</v>
      </c>
      <c r="B9" s="6" t="s">
        <v>25</v>
      </c>
      <c r="C9" s="6" t="s">
        <v>13</v>
      </c>
      <c r="D9" s="6" t="s">
        <v>26</v>
      </c>
      <c r="E9" s="6" t="s">
        <v>27</v>
      </c>
      <c r="F9" s="7" t="n">
        <v>30000</v>
      </c>
      <c r="G9" s="8" t="n">
        <v>2</v>
      </c>
      <c r="H9" s="9" t="n">
        <f aca="false">F9*(1-Assumptions!$B$3)</f>
        <v>18000</v>
      </c>
      <c r="I9" s="9" t="n">
        <f aca="false">F9*(1+Assumptions!$B$3)</f>
        <v>42000</v>
      </c>
      <c r="J9" s="10" t="n">
        <f aca="false">G9*Cost!$B$5</f>
        <v>1200</v>
      </c>
    </row>
    <row r="10" customFormat="false" ht="15" hidden="false" customHeight="true" outlineLevel="0" collapsed="false">
      <c r="A10" s="5" t="n">
        <v>6</v>
      </c>
      <c r="B10" s="6" t="s">
        <v>28</v>
      </c>
      <c r="C10" s="6" t="s">
        <v>13</v>
      </c>
      <c r="D10" s="6" t="s">
        <v>29</v>
      </c>
      <c r="E10" s="6" t="s">
        <v>30</v>
      </c>
      <c r="F10" s="7" t="n">
        <v>25000</v>
      </c>
      <c r="G10" s="8" t="n">
        <v>1.5</v>
      </c>
      <c r="H10" s="9" t="n">
        <f aca="false">F10*(1-Assumptions!$B$3)</f>
        <v>15000</v>
      </c>
      <c r="I10" s="9" t="n">
        <f aca="false">F10*(1+Assumptions!$B$3)</f>
        <v>35000</v>
      </c>
      <c r="J10" s="10" t="n">
        <f aca="false">G10*Cost!$B$5</f>
        <v>900</v>
      </c>
    </row>
    <row r="11" customFormat="false" ht="26.25" hidden="false" customHeight="true" outlineLevel="0" collapsed="false">
      <c r="A11" s="5" t="n">
        <v>7</v>
      </c>
      <c r="B11" s="6" t="s">
        <v>31</v>
      </c>
      <c r="C11" s="6" t="s">
        <v>13</v>
      </c>
      <c r="D11" s="6" t="s">
        <v>32</v>
      </c>
      <c r="E11" s="6" t="s">
        <v>33</v>
      </c>
      <c r="F11" s="7" t="n">
        <v>40000</v>
      </c>
      <c r="G11" s="8" t="n">
        <v>2</v>
      </c>
      <c r="H11" s="9" t="n">
        <f aca="false">F11*(1-Assumptions!$B$3)</f>
        <v>24000</v>
      </c>
      <c r="I11" s="9" t="n">
        <f aca="false">F11*(1+Assumptions!$B$3)</f>
        <v>56000</v>
      </c>
      <c r="J11" s="10" t="n">
        <f aca="false">G11*Cost!$B$5</f>
        <v>1200</v>
      </c>
    </row>
    <row r="12" customFormat="false" ht="26.25" hidden="false" customHeight="true" outlineLevel="0" collapsed="false">
      <c r="A12" s="5" t="n">
        <v>8</v>
      </c>
      <c r="B12" s="6" t="s">
        <v>34</v>
      </c>
      <c r="C12" s="6" t="s">
        <v>35</v>
      </c>
      <c r="D12" s="6" t="s">
        <v>36</v>
      </c>
      <c r="E12" s="6" t="s">
        <v>21</v>
      </c>
      <c r="F12" s="7" t="n">
        <v>45000</v>
      </c>
      <c r="G12" s="8" t="n">
        <v>2.5</v>
      </c>
      <c r="H12" s="9" t="n">
        <f aca="false">F12*(1-Assumptions!$B$3)</f>
        <v>27000</v>
      </c>
      <c r="I12" s="9" t="n">
        <f aca="false">F12*(1+Assumptions!$B$3)</f>
        <v>63000</v>
      </c>
      <c r="J12" s="10" t="n">
        <f aca="false">G12*Cost!$B$5</f>
        <v>1500</v>
      </c>
    </row>
    <row r="13" customFormat="false" ht="26.25" hidden="false" customHeight="true" outlineLevel="0" collapsed="false">
      <c r="A13" s="5" t="n">
        <v>9</v>
      </c>
      <c r="B13" s="6" t="s">
        <v>37</v>
      </c>
      <c r="C13" s="6" t="s">
        <v>35</v>
      </c>
      <c r="D13" s="6" t="s">
        <v>38</v>
      </c>
      <c r="E13" s="6" t="s">
        <v>39</v>
      </c>
      <c r="F13" s="7" t="n">
        <v>50000</v>
      </c>
      <c r="G13" s="8" t="n">
        <v>3</v>
      </c>
      <c r="H13" s="9" t="n">
        <f aca="false">F13*(1-Assumptions!$B$3)</f>
        <v>30000</v>
      </c>
      <c r="I13" s="9" t="n">
        <f aca="false">F13*(1+Assumptions!$B$3)</f>
        <v>70000</v>
      </c>
      <c r="J13" s="10" t="n">
        <f aca="false">G13*Cost!$B$5</f>
        <v>1800</v>
      </c>
    </row>
    <row r="14" customFormat="false" ht="26.25" hidden="false" customHeight="true" outlineLevel="0" collapsed="false">
      <c r="A14" s="5" t="n">
        <v>10</v>
      </c>
      <c r="B14" s="6" t="s">
        <v>40</v>
      </c>
      <c r="C14" s="6" t="s">
        <v>35</v>
      </c>
      <c r="D14" s="6" t="s">
        <v>41</v>
      </c>
      <c r="E14" s="6" t="s">
        <v>42</v>
      </c>
      <c r="F14" s="7" t="n">
        <v>35000</v>
      </c>
      <c r="G14" s="8" t="n">
        <v>2</v>
      </c>
      <c r="H14" s="9" t="n">
        <f aca="false">F14*(1-Assumptions!$B$3)</f>
        <v>21000</v>
      </c>
      <c r="I14" s="9" t="n">
        <f aca="false">F14*(1+Assumptions!$B$3)</f>
        <v>49000</v>
      </c>
      <c r="J14" s="10" t="n">
        <f aca="false">G14*Cost!$B$5</f>
        <v>1200</v>
      </c>
    </row>
    <row r="15" customFormat="false" ht="26.25" hidden="false" customHeight="true" outlineLevel="0" collapsed="false">
      <c r="A15" s="5" t="n">
        <v>11</v>
      </c>
      <c r="B15" s="6" t="s">
        <v>43</v>
      </c>
      <c r="C15" s="6" t="s">
        <v>35</v>
      </c>
      <c r="D15" s="6" t="s">
        <v>44</v>
      </c>
      <c r="E15" s="6" t="s">
        <v>45</v>
      </c>
      <c r="F15" s="7" t="n">
        <v>40000</v>
      </c>
      <c r="G15" s="8" t="n">
        <v>2</v>
      </c>
      <c r="H15" s="9" t="n">
        <f aca="false">F15*(1-Assumptions!$B$3)</f>
        <v>24000</v>
      </c>
      <c r="I15" s="9" t="n">
        <f aca="false">F15*(1+Assumptions!$B$3)</f>
        <v>56000</v>
      </c>
      <c r="J15" s="10" t="n">
        <f aca="false">G15*Cost!$B$5</f>
        <v>1200</v>
      </c>
    </row>
    <row r="16" customFormat="false" ht="26.25" hidden="false" customHeight="true" outlineLevel="0" collapsed="false">
      <c r="A16" s="5" t="n">
        <v>12</v>
      </c>
      <c r="B16" s="6" t="s">
        <v>46</v>
      </c>
      <c r="C16" s="6" t="s">
        <v>47</v>
      </c>
      <c r="D16" s="6" t="s">
        <v>48</v>
      </c>
      <c r="E16" s="6" t="s">
        <v>49</v>
      </c>
      <c r="F16" s="7" t="n">
        <v>40000</v>
      </c>
      <c r="G16" s="8" t="n">
        <v>2.5</v>
      </c>
      <c r="H16" s="9" t="n">
        <f aca="false">F16*(1-Assumptions!$B$3)</f>
        <v>24000</v>
      </c>
      <c r="I16" s="9" t="n">
        <f aca="false">F16*(1+Assumptions!$B$3)</f>
        <v>56000</v>
      </c>
      <c r="J16" s="10" t="n">
        <f aca="false">G16*Cost!$B$5</f>
        <v>1500</v>
      </c>
    </row>
    <row r="17" customFormat="false" ht="26.25" hidden="false" customHeight="true" outlineLevel="0" collapsed="false">
      <c r="A17" s="5" t="n">
        <v>13</v>
      </c>
      <c r="B17" s="6" t="s">
        <v>50</v>
      </c>
      <c r="C17" s="6" t="s">
        <v>47</v>
      </c>
      <c r="D17" s="6" t="s">
        <v>51</v>
      </c>
      <c r="E17" s="6" t="s">
        <v>52</v>
      </c>
      <c r="F17" s="7" t="n">
        <v>50000</v>
      </c>
      <c r="G17" s="8" t="n">
        <v>3</v>
      </c>
      <c r="H17" s="9" t="n">
        <f aca="false">F17*(1-Assumptions!$B$3)</f>
        <v>30000</v>
      </c>
      <c r="I17" s="9" t="n">
        <f aca="false">F17*(1+Assumptions!$B$3)</f>
        <v>70000</v>
      </c>
      <c r="J17" s="10" t="n">
        <f aca="false">G17*Cost!$B$5</f>
        <v>1800</v>
      </c>
    </row>
    <row r="19" customFormat="false" ht="15" hidden="false" customHeight="true" outlineLevel="0" collapsed="false">
      <c r="B19" s="11" t="s">
        <v>53</v>
      </c>
    </row>
    <row r="20" customFormat="false" ht="15" hidden="false" customHeight="true" outlineLevel="0" collapsed="false">
      <c r="B20" s="12" t="s">
        <v>4</v>
      </c>
      <c r="C20" s="12" t="s">
        <v>54</v>
      </c>
      <c r="F20" s="12" t="s">
        <v>55</v>
      </c>
      <c r="G20" s="12" t="s">
        <v>8</v>
      </c>
      <c r="H20" s="12" t="s">
        <v>9</v>
      </c>
      <c r="I20" s="12" t="s">
        <v>10</v>
      </c>
      <c r="J20" s="12" t="s">
        <v>11</v>
      </c>
    </row>
    <row r="21" customFormat="false" ht="15" hidden="false" customHeight="true" outlineLevel="0" collapsed="false">
      <c r="B21" s="13" t="s">
        <v>13</v>
      </c>
      <c r="C21" s="14" t="n">
        <f aca="false">COUNTIF($C$5:$C$17,B21)</f>
        <v>7</v>
      </c>
      <c r="F21" s="15" t="n">
        <f aca="false">SUMIF($C$5:$C$17,B21,F$5:F$17)</f>
        <v>250000</v>
      </c>
      <c r="G21" s="16" t="n">
        <f aca="false">SUMIF($C$5:$C$17,B21,G$5:G$17)</f>
        <v>13</v>
      </c>
      <c r="H21" s="15" t="n">
        <f aca="false">SUMIF($C$5:$C$17,B21,H$5:H$17)</f>
        <v>150000</v>
      </c>
      <c r="I21" s="15" t="n">
        <f aca="false">SUMIF($C$5:$C$17,B21,I$5:I$17)</f>
        <v>350000</v>
      </c>
      <c r="J21" s="17" t="n">
        <f aca="false">SUMIF($C$5:$C$17,B21,J$5:J$17)</f>
        <v>7800</v>
      </c>
    </row>
    <row r="22" customFormat="false" ht="15" hidden="false" customHeight="true" outlineLevel="0" collapsed="false">
      <c r="B22" s="13" t="s">
        <v>35</v>
      </c>
      <c r="C22" s="14" t="n">
        <f aca="false">COUNTIF($C$5:$C$17,B22)</f>
        <v>4</v>
      </c>
      <c r="F22" s="15" t="n">
        <f aca="false">SUMIF($C$5:$C$17,B22,F$5:F$17)</f>
        <v>170000</v>
      </c>
      <c r="G22" s="16" t="n">
        <f aca="false">SUMIF($C$5:$C$17,B22,G$5:G$17)</f>
        <v>9.5</v>
      </c>
      <c r="H22" s="15" t="n">
        <f aca="false">SUMIF($C$5:$C$17,B22,H$5:H$17)</f>
        <v>102000</v>
      </c>
      <c r="I22" s="15" t="n">
        <f aca="false">SUMIF($C$5:$C$17,B22,I$5:I$17)</f>
        <v>238000</v>
      </c>
      <c r="J22" s="17" t="n">
        <f aca="false">SUMIF($C$5:$C$17,B22,J$5:J$17)</f>
        <v>5700</v>
      </c>
    </row>
    <row r="23" customFormat="false" ht="15" hidden="false" customHeight="true" outlineLevel="0" collapsed="false">
      <c r="B23" s="13" t="s">
        <v>47</v>
      </c>
      <c r="C23" s="14" t="n">
        <f aca="false">COUNTIF($C$5:$C$17,B23)</f>
        <v>2</v>
      </c>
      <c r="F23" s="15" t="n">
        <f aca="false">SUMIF($C$5:$C$17,B23,F$5:F$17)</f>
        <v>90000</v>
      </c>
      <c r="G23" s="16" t="n">
        <f aca="false">SUMIF($C$5:$C$17,B23,G$5:G$17)</f>
        <v>5.5</v>
      </c>
      <c r="H23" s="15" t="n">
        <f aca="false">SUMIF($C$5:$C$17,B23,H$5:H$17)</f>
        <v>54000</v>
      </c>
      <c r="I23" s="15" t="n">
        <f aca="false">SUMIF($C$5:$C$17,B23,I$5:I$17)</f>
        <v>126000</v>
      </c>
      <c r="J23" s="17" t="n">
        <f aca="false">SUMIF($C$5:$C$17,B23,J$5:J$17)</f>
        <v>3300</v>
      </c>
    </row>
    <row r="24" customFormat="false" ht="15" hidden="false" customHeight="true" outlineLevel="0" collapsed="false">
      <c r="B24" s="18" t="s">
        <v>56</v>
      </c>
      <c r="C24" s="19" t="n">
        <f aca="false">SUM(C21:C23)</f>
        <v>13</v>
      </c>
      <c r="F24" s="20" t="n">
        <f aca="false">SUM(F21:F23)</f>
        <v>510000</v>
      </c>
      <c r="G24" s="21" t="n">
        <f aca="false">SUM(G21:G23)</f>
        <v>28</v>
      </c>
      <c r="H24" s="20" t="n">
        <f aca="false">SUM(H21:H23)</f>
        <v>306000</v>
      </c>
      <c r="I24" s="20" t="n">
        <f aca="false">SUM(I21:I23)</f>
        <v>714000</v>
      </c>
      <c r="J24" s="22" t="n">
        <f aca="false">SUM(J21:J23)</f>
        <v>16800</v>
      </c>
    </row>
    <row r="26" customFormat="false" ht="15" hidden="false" customHeight="true" outlineLevel="0" collapsed="false">
      <c r="B26" s="23" t="s">
        <v>57</v>
      </c>
      <c r="G26" s="24" t="n">
        <f aca="false">G24/Assumptions!$B$5</f>
        <v>3.5</v>
      </c>
    </row>
    <row r="27" customFormat="false" ht="15" hidden="false" customHeight="true" outlineLevel="0" collapsed="false">
      <c r="B27" s="23" t="s">
        <v>58</v>
      </c>
      <c r="G27" s="24" t="n">
        <f aca="false">G21+G23+G22/Assumptions!$B$4</f>
        <v>23.25</v>
      </c>
    </row>
    <row r="29" customFormat="false" ht="15" hidden="false" customHeight="false" outlineLevel="0" collapsed="false">
      <c r="B29" s="25" t="s">
        <v>59</v>
      </c>
      <c r="G29" s="26" t="n">
        <f aca="false">Cost!E37</f>
        <v>6147.02</v>
      </c>
    </row>
    <row r="30" customFormat="false" ht="15" hidden="false" customHeight="false" outlineLevel="0" collapsed="false">
      <c r="B30" s="25" t="s">
        <v>60</v>
      </c>
      <c r="G30" s="26" t="n">
        <f aca="false">Cost!E39</f>
        <v>22947.02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61</v>
      </c>
    </row>
    <row r="3" customFormat="false" ht="15" hidden="false" customHeight="true" outlineLevel="0" collapsed="false">
      <c r="A3" s="23" t="s">
        <v>62</v>
      </c>
      <c r="B3" s="27" t="n">
        <v>0.4</v>
      </c>
      <c r="C3" s="3" t="s">
        <v>63</v>
      </c>
    </row>
    <row r="4" customFormat="false" ht="15" hidden="false" customHeight="true" outlineLevel="0" collapsed="false">
      <c r="A4" s="23" t="s">
        <v>64</v>
      </c>
      <c r="B4" s="28" t="n">
        <v>2</v>
      </c>
      <c r="C4" s="3" t="s">
        <v>65</v>
      </c>
    </row>
    <row r="5" customFormat="false" ht="15" hidden="false" customHeight="true" outlineLevel="0" collapsed="false">
      <c r="A5" s="23" t="s">
        <v>66</v>
      </c>
      <c r="B5" s="28" t="n">
        <v>8</v>
      </c>
      <c r="C5" s="3" t="s">
        <v>67</v>
      </c>
    </row>
    <row r="8" customFormat="false" ht="15" hidden="false" customHeight="true" outlineLevel="0" collapsed="false">
      <c r="A8" s="11" t="s">
        <v>68</v>
      </c>
    </row>
    <row r="9" customFormat="false" ht="15" hidden="false" customHeight="true" outlineLevel="0" collapsed="false">
      <c r="A9" s="23" t="s">
        <v>69</v>
      </c>
    </row>
    <row r="10" customFormat="false" ht="15" hidden="false" customHeight="true" outlineLevel="0" collapsed="false">
      <c r="A10" s="23" t="s">
        <v>70</v>
      </c>
    </row>
    <row r="11" customFormat="false" ht="15" hidden="false" customHeight="true" outlineLevel="0" collapsed="false">
      <c r="A11" s="23" t="s">
        <v>71</v>
      </c>
    </row>
    <row r="12" customFormat="false" ht="15" hidden="false" customHeight="true" outlineLevel="0" collapsed="false">
      <c r="A12" s="23" t="s">
        <v>72</v>
      </c>
    </row>
    <row r="13" customFormat="false" ht="15" hidden="false" customHeight="true" outlineLevel="0" collapsed="false">
      <c r="A13" s="2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9" t="s">
        <v>74</v>
      </c>
    </row>
    <row r="2" customFormat="false" ht="15" hidden="false" customHeight="false" outlineLevel="0" collapsed="false">
      <c r="A2" s="30" t="s">
        <v>75</v>
      </c>
    </row>
    <row r="3" customFormat="false" ht="15" hidden="false" customHeight="false" outlineLevel="0" collapsed="false">
      <c r="A3" s="25" t="s">
        <v>76</v>
      </c>
    </row>
    <row r="4" customFormat="false" ht="15" hidden="false" customHeight="false" outlineLevel="0" collapsed="false">
      <c r="A4" s="31" t="s">
        <v>77</v>
      </c>
      <c r="B4" s="32" t="n">
        <v>88</v>
      </c>
      <c r="C4" s="30" t="s">
        <v>78</v>
      </c>
    </row>
    <row r="5" customFormat="false" ht="15" hidden="false" customHeight="false" outlineLevel="0" collapsed="false">
      <c r="A5" s="31" t="s">
        <v>79</v>
      </c>
      <c r="B5" s="33" t="n">
        <v>600</v>
      </c>
      <c r="C5" s="30" t="s">
        <v>80</v>
      </c>
    </row>
    <row r="6" customFormat="false" ht="15" hidden="false" customHeight="false" outlineLevel="0" collapsed="false">
      <c r="A6" s="31" t="s">
        <v>81</v>
      </c>
      <c r="B6" s="34" t="n">
        <v>25</v>
      </c>
      <c r="C6" s="30" t="s">
        <v>82</v>
      </c>
    </row>
    <row r="7" customFormat="false" ht="15" hidden="false" customHeight="false" outlineLevel="0" collapsed="false">
      <c r="A7" s="31" t="s">
        <v>83</v>
      </c>
      <c r="B7" s="34" t="n">
        <v>1</v>
      </c>
      <c r="C7" s="30" t="s">
        <v>84</v>
      </c>
    </row>
    <row r="8" customFormat="false" ht="15" hidden="false" customHeight="false" outlineLevel="0" collapsed="false">
      <c r="A8" s="31" t="s">
        <v>85</v>
      </c>
      <c r="B8" s="34" t="n">
        <v>25</v>
      </c>
      <c r="C8" s="30" t="s">
        <v>86</v>
      </c>
    </row>
    <row r="9" customFormat="false" ht="15" hidden="false" customHeight="false" outlineLevel="0" collapsed="false">
      <c r="A9" s="31" t="s">
        <v>87</v>
      </c>
      <c r="B9" s="34" t="n">
        <v>1</v>
      </c>
      <c r="C9" s="30" t="s">
        <v>88</v>
      </c>
    </row>
    <row r="10" customFormat="false" ht="15" hidden="false" customHeight="false" outlineLevel="0" collapsed="false">
      <c r="A10" s="31" t="s">
        <v>89</v>
      </c>
      <c r="B10" s="33" t="n">
        <v>439</v>
      </c>
      <c r="C10" s="30" t="s">
        <v>90</v>
      </c>
    </row>
    <row r="11" customFormat="false" ht="15" hidden="false" customHeight="false" outlineLevel="0" collapsed="false">
      <c r="A11" s="31" t="s">
        <v>91</v>
      </c>
      <c r="B11" s="32" t="n">
        <v>30</v>
      </c>
      <c r="C11" s="30" t="s">
        <v>92</v>
      </c>
    </row>
    <row r="12" customFormat="false" ht="15" hidden="false" customHeight="false" outlineLevel="0" collapsed="false">
      <c r="A12" s="31" t="s">
        <v>93</v>
      </c>
      <c r="B12" s="33" t="n">
        <v>1000</v>
      </c>
      <c r="C12" s="30" t="s">
        <v>94</v>
      </c>
    </row>
    <row r="13" customFormat="false" ht="15" hidden="false" customHeight="false" outlineLevel="0" collapsed="false">
      <c r="A13" s="31" t="s">
        <v>95</v>
      </c>
      <c r="B13" s="32" t="n">
        <v>8</v>
      </c>
      <c r="C13" s="30" t="s">
        <v>96</v>
      </c>
    </row>
    <row r="14" customFormat="false" ht="15" hidden="false" customHeight="false" outlineLevel="0" collapsed="false">
      <c r="A14" s="31" t="s">
        <v>97</v>
      </c>
      <c r="B14" s="33" t="n">
        <v>60</v>
      </c>
      <c r="C14" s="30" t="s">
        <v>98</v>
      </c>
    </row>
    <row r="15" customFormat="false" ht="15" hidden="false" customHeight="false" outlineLevel="0" collapsed="false">
      <c r="A15" s="31" t="s">
        <v>99</v>
      </c>
      <c r="B15" s="32" t="n">
        <v>5</v>
      </c>
      <c r="C15" s="30" t="s">
        <v>96</v>
      </c>
    </row>
    <row r="16" customFormat="false" ht="15" hidden="false" customHeight="false" outlineLevel="0" collapsed="false">
      <c r="A16" s="31" t="s">
        <v>100</v>
      </c>
      <c r="B16" s="34" t="n">
        <v>3</v>
      </c>
      <c r="C16" s="30" t="s">
        <v>101</v>
      </c>
    </row>
    <row r="17" customFormat="false" ht="15" hidden="false" customHeight="false" outlineLevel="0" collapsed="false">
      <c r="A17" s="31" t="s">
        <v>102</v>
      </c>
      <c r="B17" s="33" t="n">
        <v>150</v>
      </c>
      <c r="C17" s="30" t="s">
        <v>103</v>
      </c>
    </row>
    <row r="18" customFormat="false" ht="15" hidden="false" customHeight="false" outlineLevel="0" collapsed="false">
      <c r="A18" s="31" t="s">
        <v>104</v>
      </c>
      <c r="B18" s="33" t="n">
        <v>100</v>
      </c>
      <c r="C18" s="30" t="s">
        <v>103</v>
      </c>
    </row>
    <row r="19" customFormat="false" ht="15" hidden="false" customHeight="false" outlineLevel="0" collapsed="false">
      <c r="A19" s="31" t="s">
        <v>105</v>
      </c>
      <c r="B19" s="33" t="n">
        <v>3000</v>
      </c>
      <c r="C19" s="30" t="s">
        <v>106</v>
      </c>
    </row>
    <row r="20" customFormat="false" ht="15" hidden="false" customHeight="false" outlineLevel="0" collapsed="false">
      <c r="A20" s="31" t="s">
        <v>107</v>
      </c>
      <c r="B20" s="32" t="n">
        <v>5</v>
      </c>
      <c r="C20" s="30" t="s">
        <v>108</v>
      </c>
    </row>
    <row r="22" customFormat="false" ht="15" hidden="false" customHeight="false" outlineLevel="0" collapsed="false">
      <c r="A22" s="25" t="s">
        <v>109</v>
      </c>
    </row>
    <row r="23" customFormat="false" ht="15" hidden="false" customHeight="false" outlineLevel="0" collapsed="false">
      <c r="A23" s="31" t="s">
        <v>110</v>
      </c>
      <c r="B23" s="35" t="n">
        <f aca="false">B10*B11/1000000+B12*B13/1000000+B14*B15/1000000</f>
        <v>0.02147</v>
      </c>
    </row>
    <row r="24" customFormat="false" ht="15" hidden="false" customHeight="false" outlineLevel="0" collapsed="false">
      <c r="A24" s="31" t="s">
        <v>111</v>
      </c>
      <c r="B24" s="35" t="n">
        <f aca="false">B19*B20/1000000</f>
        <v>0.015</v>
      </c>
    </row>
    <row r="25" customFormat="false" ht="15" hidden="false" customHeight="false" outlineLevel="0" collapsed="false">
      <c r="A25" s="31" t="s">
        <v>112</v>
      </c>
      <c r="B25" s="36" t="n">
        <f aca="false">(B16*B23+B24)*B4</f>
        <v>6.98808</v>
      </c>
    </row>
    <row r="26" customFormat="false" ht="15" hidden="false" customHeight="false" outlineLevel="0" collapsed="false">
      <c r="A26" s="31" t="s">
        <v>113</v>
      </c>
      <c r="B26" s="17" t="n">
        <f aca="false">B25*1000</f>
        <v>6988.08</v>
      </c>
    </row>
    <row r="28" customFormat="false" ht="15" hidden="false" customHeight="false" outlineLevel="0" collapsed="false">
      <c r="A28" s="25" t="s">
        <v>114</v>
      </c>
    </row>
    <row r="29" customFormat="false" ht="15" hidden="false" customHeight="false" outlineLevel="0" collapsed="false">
      <c r="A29" s="37" t="s">
        <v>115</v>
      </c>
      <c r="B29" s="37" t="s">
        <v>116</v>
      </c>
      <c r="C29" s="37" t="s">
        <v>117</v>
      </c>
      <c r="D29" s="37" t="s">
        <v>118</v>
      </c>
      <c r="E29" s="37" t="s">
        <v>119</v>
      </c>
      <c r="F29" s="37" t="s">
        <v>120</v>
      </c>
    </row>
    <row r="30" customFormat="false" ht="15" hidden="false" customHeight="false" outlineLevel="0" collapsed="false">
      <c r="A30" s="38" t="s">
        <v>6</v>
      </c>
      <c r="B30" s="38" t="s">
        <v>121</v>
      </c>
      <c r="C30" s="39" t="n">
        <f aca="false">B7</f>
        <v>1</v>
      </c>
      <c r="D30" s="17" t="n">
        <f aca="false">B6*B4</f>
        <v>2200</v>
      </c>
      <c r="E30" s="17" t="n">
        <f aca="false">C30*D30</f>
        <v>2200</v>
      </c>
      <c r="F30" s="38" t="s">
        <v>122</v>
      </c>
    </row>
    <row r="31" customFormat="false" ht="15" hidden="false" customHeight="false" outlineLevel="0" collapsed="false">
      <c r="A31" s="38" t="s">
        <v>6</v>
      </c>
      <c r="B31" s="38" t="s">
        <v>123</v>
      </c>
      <c r="C31" s="39" t="n">
        <f aca="false">B9</f>
        <v>1</v>
      </c>
      <c r="D31" s="17" t="n">
        <f aca="false">B8*B4</f>
        <v>2200</v>
      </c>
      <c r="E31" s="17" t="n">
        <f aca="false">C31*D31</f>
        <v>2200</v>
      </c>
      <c r="F31" s="38" t="s">
        <v>122</v>
      </c>
    </row>
    <row r="32" customFormat="false" ht="15" hidden="false" customHeight="false" outlineLevel="0" collapsed="false">
      <c r="A32" s="38" t="s">
        <v>6</v>
      </c>
      <c r="B32" s="38" t="s">
        <v>124</v>
      </c>
      <c r="C32" s="40" t="n">
        <v>1</v>
      </c>
      <c r="D32" s="41" t="n">
        <v>0</v>
      </c>
      <c r="E32" s="17" t="n">
        <f aca="false">C32*D32</f>
        <v>0</v>
      </c>
      <c r="F32" s="38" t="s">
        <v>125</v>
      </c>
    </row>
    <row r="33" customFormat="false" ht="15" hidden="false" customHeight="false" outlineLevel="0" collapsed="false">
      <c r="A33" s="38" t="s">
        <v>126</v>
      </c>
      <c r="B33" s="38" t="s">
        <v>102</v>
      </c>
      <c r="C33" s="39" t="n">
        <f aca="false">B17</f>
        <v>150</v>
      </c>
      <c r="D33" s="17" t="n">
        <f aca="false">B25</f>
        <v>6.98808</v>
      </c>
      <c r="E33" s="17" t="n">
        <f aca="false">C33*D33</f>
        <v>1048.212</v>
      </c>
      <c r="F33" s="38" t="s">
        <v>127</v>
      </c>
    </row>
    <row r="34" customFormat="false" ht="15" hidden="false" customHeight="false" outlineLevel="0" collapsed="false">
      <c r="A34" s="38" t="s">
        <v>126</v>
      </c>
      <c r="B34" s="38" t="s">
        <v>104</v>
      </c>
      <c r="C34" s="39" t="n">
        <f aca="false">B18</f>
        <v>100</v>
      </c>
      <c r="D34" s="17" t="n">
        <f aca="false">B25</f>
        <v>6.98808</v>
      </c>
      <c r="E34" s="17" t="n">
        <f aca="false">C34*D34</f>
        <v>698.808</v>
      </c>
      <c r="F34" s="38" t="s">
        <v>127</v>
      </c>
    </row>
    <row r="35" customFormat="false" ht="15" hidden="false" customHeight="false" outlineLevel="0" collapsed="false">
      <c r="A35" s="38" t="s">
        <v>128</v>
      </c>
      <c r="B35" s="38" t="s">
        <v>129</v>
      </c>
      <c r="C35" s="42" t="n">
        <f aca="false">'Build Plan'!G24</f>
        <v>28</v>
      </c>
      <c r="D35" s="17" t="n">
        <f aca="false">B5</f>
        <v>600</v>
      </c>
      <c r="E35" s="17" t="n">
        <f aca="false">C35*D35</f>
        <v>16800</v>
      </c>
      <c r="F35" s="38" t="s">
        <v>130</v>
      </c>
    </row>
    <row r="37" customFormat="false" ht="15" hidden="false" customHeight="false" outlineLevel="0" collapsed="false">
      <c r="A37" s="25" t="s">
        <v>131</v>
      </c>
      <c r="E37" s="22" t="n">
        <f aca="false">SUM(E30:E34)</f>
        <v>6147.02</v>
      </c>
    </row>
    <row r="38" customFormat="false" ht="15" hidden="false" customHeight="false" outlineLevel="0" collapsed="false">
      <c r="A38" s="25" t="s">
        <v>132</v>
      </c>
      <c r="E38" s="22" t="n">
        <f aca="false">E35</f>
        <v>16800</v>
      </c>
    </row>
    <row r="39" customFormat="false" ht="15" hidden="false" customHeight="false" outlineLevel="0" collapsed="false">
      <c r="A39" s="25" t="s">
        <v>133</v>
      </c>
      <c r="E39" s="22" t="n">
        <f aca="false">E37+E38</f>
        <v>22947.02</v>
      </c>
    </row>
    <row r="40" customFormat="false" ht="15" hidden="false" customHeight="false" outlineLevel="0" collapsed="false">
      <c r="A40" s="25" t="s">
        <v>134</v>
      </c>
      <c r="E40" s="22" t="n">
        <f aca="false">E33+E34</f>
        <v>1747.02</v>
      </c>
    </row>
    <row r="42" customFormat="false" ht="15" hidden="false" customHeight="false" outlineLevel="0" collapsed="false">
      <c r="A42" s="25" t="s">
        <v>68</v>
      </c>
    </row>
    <row r="43" customFormat="false" ht="15" hidden="false" customHeight="false" outlineLevel="0" collapsed="false">
      <c r="A43" s="31" t="s">
        <v>135</v>
      </c>
    </row>
    <row r="44" customFormat="false" ht="15" hidden="false" customHeight="false" outlineLevel="0" collapsed="false">
      <c r="A44" s="31" t="s">
        <v>136</v>
      </c>
    </row>
    <row r="45" customFormat="false" ht="15" hidden="false" customHeight="false" outlineLevel="0" collapsed="false">
      <c r="A45" s="31" t="s">
        <v>137</v>
      </c>
    </row>
    <row r="46" customFormat="false" ht="15" hidden="false" customHeight="false" outlineLevel="0" collapsed="false">
      <c r="A46" s="3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2026-10-29T17:37:01Z</dcterms:created>
  <dc:creator>openpyxl</dc:creator>
  <dc:description/>
  <dc:language>en-US</dc:language>
  <cp:lastModifiedBy/>
  <dcterms:modified xsi:type="dcterms:W3CDTF">2026-10-29T17:52:07Z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